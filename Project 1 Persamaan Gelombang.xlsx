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sika UIN\Semester 6\Fiskom lanjut\UTS\"/>
    </mc:Choice>
  </mc:AlternateContent>
  <xr:revisionPtr revIDLastSave="0" documentId="13_ncr:1_{947D02DB-2E23-47BB-94DB-75B4066CB494}" xr6:coauthVersionLast="47" xr6:coauthVersionMax="47" xr10:uidLastSave="{00000000-0000-0000-0000-000000000000}"/>
  <bookViews>
    <workbookView xWindow="-108" yWindow="-108" windowWidth="23256" windowHeight="13176" xr2:uid="{697A2A4A-E7F8-43D6-B7EC-57ECA4C4D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/>
  <c r="G4" i="1"/>
  <c r="H5" i="1" s="1"/>
  <c r="H4" i="1"/>
  <c r="I4" i="1"/>
  <c r="J4" i="1"/>
  <c r="K4" i="1"/>
  <c r="J5" i="1" s="1"/>
  <c r="L4" i="1"/>
  <c r="K5" i="1" s="1"/>
  <c r="L6" i="1" s="1"/>
  <c r="D4" i="1"/>
  <c r="E5" i="1" l="1"/>
  <c r="F6" i="1" s="1"/>
  <c r="G7" i="1" s="1"/>
  <c r="I5" i="1"/>
  <c r="G5" i="1"/>
  <c r="F5" i="1"/>
  <c r="G6" i="1" s="1"/>
  <c r="J6" i="1"/>
  <c r="K7" i="1" s="1"/>
  <c r="I6" i="1"/>
  <c r="H6" i="1"/>
  <c r="I7" i="1" s="1"/>
  <c r="L5" i="1"/>
  <c r="K6" i="1" s="1"/>
  <c r="L7" i="1" s="1"/>
  <c r="D5" i="1"/>
  <c r="E6" i="1" s="1"/>
  <c r="L8" i="1"/>
  <c r="H7" i="1" l="1"/>
  <c r="D6" i="1"/>
  <c r="E7" i="1"/>
  <c r="H8" i="1"/>
  <c r="J7" i="1"/>
  <c r="J8" i="1"/>
  <c r="K9" i="1" s="1"/>
  <c r="L10" i="1" s="1"/>
  <c r="D7" i="1"/>
  <c r="F7" i="1"/>
  <c r="K8" i="1" l="1"/>
  <c r="L9" i="1" s="1"/>
  <c r="I8" i="1"/>
  <c r="E8" i="1"/>
  <c r="G8" i="1"/>
  <c r="H9" i="1" s="1"/>
  <c r="I9" i="1"/>
  <c r="J10" i="1" s="1"/>
  <c r="K11" i="1" s="1"/>
  <c r="L12" i="1" s="1"/>
  <c r="D8" i="1"/>
  <c r="F8" i="1"/>
  <c r="G9" i="1" s="1"/>
  <c r="H10" i="1" s="1"/>
  <c r="I11" i="1" s="1"/>
  <c r="J12" i="1" s="1"/>
  <c r="K13" i="1" s="1"/>
  <c r="L14" i="1" s="1"/>
  <c r="I10" i="1" l="1"/>
  <c r="J11" i="1" s="1"/>
  <c r="K12" i="1" s="1"/>
  <c r="L13" i="1" s="1"/>
  <c r="J9" i="1"/>
  <c r="K10" i="1" s="1"/>
  <c r="L11" i="1" s="1"/>
  <c r="E9" i="1"/>
  <c r="D10" i="1"/>
  <c r="F10" i="1"/>
  <c r="G11" i="1" s="1"/>
  <c r="H12" i="1" s="1"/>
  <c r="I13" i="1" s="1"/>
  <c r="J14" i="1" s="1"/>
  <c r="F9" i="1"/>
  <c r="G10" i="1" s="1"/>
  <c r="D9" i="1"/>
  <c r="H11" i="1" l="1"/>
  <c r="I12" i="1" s="1"/>
  <c r="J13" i="1" s="1"/>
  <c r="K14" i="1" s="1"/>
  <c r="E10" i="1"/>
  <c r="E11" i="1"/>
  <c r="F12" i="1" s="1"/>
  <c r="G13" i="1" s="1"/>
  <c r="H14" i="1" s="1"/>
  <c r="D12" i="1"/>
  <c r="E13" i="1" s="1"/>
  <c r="D11" i="1"/>
  <c r="F11" i="1"/>
  <c r="G12" i="1" s="1"/>
  <c r="H13" i="1" s="1"/>
  <c r="I14" i="1" s="1"/>
  <c r="F14" i="1"/>
  <c r="D14" i="1"/>
  <c r="E12" i="1" l="1"/>
  <c r="F13" i="1" l="1"/>
  <c r="G14" i="1" s="1"/>
  <c r="D13" i="1"/>
  <c r="E14" i="1" l="1"/>
</calcChain>
</file>

<file path=xl/sharedStrings.xml><?xml version="1.0" encoding="utf-8"?>
<sst xmlns="http://schemas.openxmlformats.org/spreadsheetml/2006/main" count="14" uniqueCount="14">
  <si>
    <t>BC: U(x,0) = 0</t>
  </si>
  <si>
    <t xml:space="preserve">     U(1, t) = 0</t>
  </si>
  <si>
    <t>x</t>
  </si>
  <si>
    <t>U(x,0) = SIN(3.14*E2) + SIN(3.14*2*E2)</t>
  </si>
  <si>
    <t>j &gt; 1</t>
  </si>
  <si>
    <t>j = 1</t>
  </si>
  <si>
    <t>x2</t>
  </si>
  <si>
    <t>x1</t>
  </si>
  <si>
    <t>t1</t>
  </si>
  <si>
    <t>t2</t>
  </si>
  <si>
    <t>U(x,1) = (fi-1 + fi+1)/2</t>
  </si>
  <si>
    <r>
      <t>U(x, j &gt; 1) = U</t>
    </r>
    <r>
      <rPr>
        <vertAlign val="subscript"/>
        <sz val="11"/>
        <color theme="1"/>
        <rFont val="Calibri"/>
        <family val="2"/>
        <scheme val="minor"/>
      </rPr>
      <t>i+1 , j</t>
    </r>
    <r>
      <rPr>
        <sz val="11"/>
        <color theme="1"/>
        <rFont val="Calibri"/>
        <family val="2"/>
        <scheme val="minor"/>
      </rPr>
      <t xml:space="preserve"> + U</t>
    </r>
    <r>
      <rPr>
        <vertAlign val="subscript"/>
        <sz val="11"/>
        <color theme="1"/>
        <rFont val="Calibri"/>
        <family val="2"/>
        <scheme val="minor"/>
      </rPr>
      <t xml:space="preserve">i -1, j </t>
    </r>
    <r>
      <rPr>
        <sz val="11"/>
        <color theme="1"/>
        <rFont val="Calibri"/>
        <family val="2"/>
        <scheme val="minor"/>
      </rPr>
      <t>- U</t>
    </r>
    <r>
      <rPr>
        <vertAlign val="subscript"/>
        <sz val="11"/>
        <color theme="1"/>
        <rFont val="Calibri"/>
        <family val="2"/>
        <scheme val="minor"/>
      </rPr>
      <t xml:space="preserve">i, j-1 </t>
    </r>
  </si>
  <si>
    <t>Grafik di Origin</t>
  </si>
  <si>
    <t>dst.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</si>
</sst>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100" b="0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Grafik Persamaan Gelombang 1D dengan Metode Finite Difference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Sheet1!$B$4:$M$4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0.89680156493609275</c:v>
                </c:pt>
                <c:pt idx="3">
                  <c:v>1.5388410112254236</c:v>
                </c:pt>
                <c:pt idx="4">
                  <c:v>1.7600735347489607</c:v>
                </c:pt>
                <c:pt idx="5">
                  <c:v>1.5388431580234205</c:v>
                </c:pt>
                <c:pt idx="6">
                  <c:v>1.0000026535889133</c:v>
                </c:pt>
                <c:pt idx="7">
                  <c:v>0.36327433216614724</c:v>
                </c:pt>
                <c:pt idx="8">
                  <c:v>-0.14203728209029709</c:v>
                </c:pt>
                <c:pt idx="9">
                  <c:v>-0.36327085856298935</c:v>
                </c:pt>
                <c:pt idx="10">
                  <c:v>-0.27876985080785394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6-4B8D-8199-27F4860F895F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Sheet1!$B$5:$M$5</c:f>
              <c:numCache>
                <c:formatCode>General</c:formatCode>
                <c:ptCount val="12"/>
                <c:pt idx="0">
                  <c:v>0.05</c:v>
                </c:pt>
                <c:pt idx="1">
                  <c:v>0</c:v>
                </c:pt>
                <c:pt idx="2">
                  <c:v>0.7694205056127118</c:v>
                </c:pt>
                <c:pt idx="3">
                  <c:v>1.3284375498425267</c:v>
                </c:pt>
                <c:pt idx="4">
                  <c:v>1.538842084624422</c:v>
                </c:pt>
                <c:pt idx="5">
                  <c:v>1.380038094168937</c:v>
                </c:pt>
                <c:pt idx="6">
                  <c:v>0.95105874509478383</c:v>
                </c:pt>
                <c:pt idx="7">
                  <c:v>0.42898268574930809</c:v>
                </c:pt>
                <c:pt idx="8">
                  <c:v>1.7368015789442914E-6</c:v>
                </c:pt>
                <c:pt idx="9">
                  <c:v>-0.21040356644907551</c:v>
                </c:pt>
                <c:pt idx="10">
                  <c:v>-0.18163542928149468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6-4B8D-8199-27F4860F895F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Sheet1!$B$6:$M$6</c:f>
              <c:numCache>
                <c:formatCode>General</c:formatCode>
                <c:ptCount val="12"/>
                <c:pt idx="0">
                  <c:v>0.1</c:v>
                </c:pt>
                <c:pt idx="1">
                  <c:v>0</c:v>
                </c:pt>
                <c:pt idx="2">
                  <c:v>0.43163598490643396</c:v>
                </c:pt>
                <c:pt idx="3">
                  <c:v>0.76942157901171027</c:v>
                </c:pt>
                <c:pt idx="4">
                  <c:v>0.94840210926250301</c:v>
                </c:pt>
                <c:pt idx="5">
                  <c:v>0.95105767169578526</c:v>
                </c:pt>
                <c:pt idx="6">
                  <c:v>0.80901812632933168</c:v>
                </c:pt>
                <c:pt idx="7">
                  <c:v>0.58778614973021559</c:v>
                </c:pt>
                <c:pt idx="8">
                  <c:v>0.36061640139052964</c:v>
                </c:pt>
                <c:pt idx="9">
                  <c:v>0.18163716608307362</c:v>
                </c:pt>
                <c:pt idx="10">
                  <c:v>6.8366284358778423E-2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6-4B8D-8199-27F4860F895F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Sheet1!$B$7:$M$7</c:f>
              <c:numCache>
                <c:formatCode>General</c:formatCode>
                <c:ptCount val="12"/>
                <c:pt idx="0">
                  <c:v>0.15</c:v>
                </c:pt>
                <c:pt idx="1">
                  <c:v>0</c:v>
                </c:pt>
                <c:pt idx="2">
                  <c:v>1.0733989984634817E-6</c:v>
                </c:pt>
                <c:pt idx="3">
                  <c:v>5.1600544326410258E-2</c:v>
                </c:pt>
                <c:pt idx="4">
                  <c:v>0.18163716608307356</c:v>
                </c:pt>
                <c:pt idx="5">
                  <c:v>0.37738214142289772</c:v>
                </c:pt>
                <c:pt idx="6">
                  <c:v>0.58778507633121713</c:v>
                </c:pt>
                <c:pt idx="7">
                  <c:v>0.74065184197055334</c:v>
                </c:pt>
                <c:pt idx="8">
                  <c:v>0.76942157901171027</c:v>
                </c:pt>
                <c:pt idx="9">
                  <c:v>0.63938625219838363</c:v>
                </c:pt>
                <c:pt idx="10">
                  <c:v>0.3632725953645683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6-4B8D-8199-27F4860F895F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Sheet1!$B$8:$M$8</c:f>
              <c:numCache>
                <c:formatCode>General</c:formatCode>
                <c:ptCount val="12"/>
                <c:pt idx="0">
                  <c:v>0.2</c:v>
                </c:pt>
                <c:pt idx="1">
                  <c:v>0</c:v>
                </c:pt>
                <c:pt idx="2">
                  <c:v>-0.3800354405800237</c:v>
                </c:pt>
                <c:pt idx="3">
                  <c:v>-0.58778333952963824</c:v>
                </c:pt>
                <c:pt idx="4">
                  <c:v>-0.51941942351319503</c:v>
                </c:pt>
                <c:pt idx="5">
                  <c:v>-0.18163542928149456</c:v>
                </c:pt>
                <c:pt idx="6">
                  <c:v>0.30901585706411949</c:v>
                </c:pt>
                <c:pt idx="7">
                  <c:v>0.7694205056127118</c:v>
                </c:pt>
                <c:pt idx="8">
                  <c:v>1.0194216927784074</c:v>
                </c:pt>
                <c:pt idx="9">
                  <c:v>0.95105700829320505</c:v>
                </c:pt>
                <c:pt idx="10">
                  <c:v>0.57101996783960518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6-4B8D-8199-27F4860F895F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Sheet1!$B$9:$M$9</c:f>
              <c:numCache>
                <c:formatCode>General</c:formatCode>
                <c:ptCount val="12"/>
                <c:pt idx="0">
                  <c:v>0.25</c:v>
                </c:pt>
                <c:pt idx="1">
                  <c:v>0</c:v>
                </c:pt>
                <c:pt idx="2">
                  <c:v>-0.5877844129286367</c:v>
                </c:pt>
                <c:pt idx="3">
                  <c:v>-0.95105540841962899</c:v>
                </c:pt>
                <c:pt idx="4">
                  <c:v>-0.95105593489420637</c:v>
                </c:pt>
                <c:pt idx="5">
                  <c:v>-0.58778570787197326</c:v>
                </c:pt>
                <c:pt idx="6">
                  <c:v>0</c:v>
                </c:pt>
                <c:pt idx="7">
                  <c:v>0.5877857078719736</c:v>
                </c:pt>
                <c:pt idx="8">
                  <c:v>0.95105593489420648</c:v>
                </c:pt>
                <c:pt idx="9">
                  <c:v>0.95105540841962888</c:v>
                </c:pt>
                <c:pt idx="10">
                  <c:v>0.5877844129286367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16-4B8D-8199-27F4860F895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Sheet1!$B$10:$M$10</c:f>
              <c:numCache>
                <c:formatCode>General</c:formatCode>
                <c:ptCount val="12"/>
                <c:pt idx="0">
                  <c:v>0.3</c:v>
                </c:pt>
                <c:pt idx="1">
                  <c:v>0</c:v>
                </c:pt>
                <c:pt idx="2">
                  <c:v>-0.57101996783960529</c:v>
                </c:pt>
                <c:pt idx="3">
                  <c:v>-0.95105700829320472</c:v>
                </c:pt>
                <c:pt idx="4">
                  <c:v>-1.0194216927784072</c:v>
                </c:pt>
                <c:pt idx="5">
                  <c:v>-0.7694205056127118</c:v>
                </c:pt>
                <c:pt idx="6">
                  <c:v>-0.30901585706411916</c:v>
                </c:pt>
                <c:pt idx="7">
                  <c:v>0.18163542928149468</c:v>
                </c:pt>
                <c:pt idx="8">
                  <c:v>0.51941942351319503</c:v>
                </c:pt>
                <c:pt idx="9">
                  <c:v>0.58778333952963813</c:v>
                </c:pt>
                <c:pt idx="10">
                  <c:v>0.3800354405800237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16-4B8D-8199-27F4860F895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Sheet1!$B$11:$M$11</c:f>
              <c:numCache>
                <c:formatCode>General</c:formatCode>
                <c:ptCount val="12"/>
                <c:pt idx="0">
                  <c:v>0.35</c:v>
                </c:pt>
                <c:pt idx="1">
                  <c:v>0</c:v>
                </c:pt>
                <c:pt idx="2">
                  <c:v>-0.36327259536456802</c:v>
                </c:pt>
                <c:pt idx="3">
                  <c:v>-0.63938625219838352</c:v>
                </c:pt>
                <c:pt idx="4">
                  <c:v>-0.76942157901171015</c:v>
                </c:pt>
                <c:pt idx="5">
                  <c:v>-0.740651841970553</c:v>
                </c:pt>
                <c:pt idx="6">
                  <c:v>-0.58778507633121713</c:v>
                </c:pt>
                <c:pt idx="7">
                  <c:v>-0.37738214142289772</c:v>
                </c:pt>
                <c:pt idx="8">
                  <c:v>-0.18163716608307368</c:v>
                </c:pt>
                <c:pt idx="9">
                  <c:v>-5.1600544326410147E-2</c:v>
                </c:pt>
                <c:pt idx="10">
                  <c:v>-1.073398998574504E-6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16-4B8D-8199-27F4860F895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Sheet1!$B$12:$M$12</c:f>
              <c:numCache>
                <c:formatCode>General</c:formatCode>
                <c:ptCount val="12"/>
                <c:pt idx="0">
                  <c:v>0.4</c:v>
                </c:pt>
                <c:pt idx="1">
                  <c:v>0</c:v>
                </c:pt>
                <c:pt idx="2">
                  <c:v>-6.8366284358778229E-2</c:v>
                </c:pt>
                <c:pt idx="3">
                  <c:v>-0.18163716608307345</c:v>
                </c:pt>
                <c:pt idx="4">
                  <c:v>-0.36061640139052931</c:v>
                </c:pt>
                <c:pt idx="5">
                  <c:v>-0.58778614973021537</c:v>
                </c:pt>
                <c:pt idx="6">
                  <c:v>-0.80901812632933157</c:v>
                </c:pt>
                <c:pt idx="7">
                  <c:v>-0.95105767169578548</c:v>
                </c:pt>
                <c:pt idx="8">
                  <c:v>-0.9484021092625029</c:v>
                </c:pt>
                <c:pt idx="9">
                  <c:v>-0.76942157901171038</c:v>
                </c:pt>
                <c:pt idx="10">
                  <c:v>-0.43163598490643384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16-4B8D-8199-27F4860F895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Sheet1!$B$13:$M$13</c:f>
              <c:numCache>
                <c:formatCode>General</c:formatCode>
                <c:ptCount val="12"/>
                <c:pt idx="0">
                  <c:v>0.45</c:v>
                </c:pt>
                <c:pt idx="1">
                  <c:v>0</c:v>
                </c:pt>
                <c:pt idx="2">
                  <c:v>0.18163542928149456</c:v>
                </c:pt>
                <c:pt idx="3">
                  <c:v>0.21040356644907598</c:v>
                </c:pt>
                <c:pt idx="4">
                  <c:v>-1.7368015786667357E-6</c:v>
                </c:pt>
                <c:pt idx="5">
                  <c:v>-0.42898268574930798</c:v>
                </c:pt>
                <c:pt idx="6">
                  <c:v>-0.95105874509478383</c:v>
                </c:pt>
                <c:pt idx="7">
                  <c:v>-1.3800380941689367</c:v>
                </c:pt>
                <c:pt idx="8">
                  <c:v>-1.538842084624422</c:v>
                </c:pt>
                <c:pt idx="9">
                  <c:v>-1.3284375498425267</c:v>
                </c:pt>
                <c:pt idx="10">
                  <c:v>-0.7694205056127118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16-4B8D-8199-27F4860F895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Sheet1!$B$14:$M$14</c:f>
              <c:numCache>
                <c:formatCode>General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0.27876985080785421</c:v>
                </c:pt>
                <c:pt idx="3">
                  <c:v>0.36327085856298935</c:v>
                </c:pt>
                <c:pt idx="4">
                  <c:v>0.14203728209029731</c:v>
                </c:pt>
                <c:pt idx="5">
                  <c:v>-0.36327433216614713</c:v>
                </c:pt>
                <c:pt idx="6">
                  <c:v>-1.000002653588913</c:v>
                </c:pt>
                <c:pt idx="7">
                  <c:v>-1.5388431580234203</c:v>
                </c:pt>
                <c:pt idx="8">
                  <c:v>-1.7600735347489609</c:v>
                </c:pt>
                <c:pt idx="9">
                  <c:v>-1.5388410112254234</c:v>
                </c:pt>
                <c:pt idx="10">
                  <c:v>-0.89680156493609287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16-4B8D-8199-27F4860F895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89980576"/>
        <c:axId val="2089981056"/>
        <c:axId val="1257501920"/>
      </c:surface3DChart>
      <c:catAx>
        <c:axId val="2089980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x</a:t>
                </a:r>
              </a:p>
            </c:rich>
          </c:tx>
          <c:overlay val="0"/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81056"/>
        <c:crosses val="autoZero"/>
        <c:auto val="1"/>
        <c:lblAlgn val="ctr"/>
        <c:lblOffset val="100"/>
        <c:noMultiLvlLbl val="0"/>
      </c:catAx>
      <c:valAx>
        <c:axId val="20899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80576"/>
        <c:crosses val="autoZero"/>
        <c:crossBetween val="midCat"/>
      </c:valAx>
      <c:serAx>
        <c:axId val="1257501920"/>
        <c:scaling>
          <c:orientation val="minMax"/>
        </c:scaling>
        <c:delete val="0"/>
        <c:axPos val="b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t</a:t>
                </a:r>
              </a:p>
            </c:rich>
          </c:tx>
          <c:overlay val="0"/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810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134620</xdr:colOff>
      <xdr:row>14</xdr:row>
      <xdr:rowOff>152400</xdr:rowOff>
    </xdr:from>
    <xdr:to>
      <xdr:col>20</xdr:col>
      <xdr:colOff>444500</xdr:colOff>
      <xdr:row>38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BD116F-B214-CD39-8A0B-986C2D1A0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243840</xdr:colOff>
      <xdr:row>19</xdr:row>
      <xdr:rowOff>112512</xdr:rowOff>
    </xdr:from>
    <xdr:to>
      <xdr:col>10</xdr:col>
      <xdr:colOff>155486</xdr:colOff>
      <xdr:row>34</xdr:row>
      <xdr:rowOff>129957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E87514-A872-F0A4-FD1C-3FFB549B7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7580" y="3602472"/>
          <a:ext cx="3612426" cy="2760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2EE0-FCB0-4DE5-BA4F-2B9695E72374}">
  <dimension ref="A1:Q19"/>
  <sheetViews>
    <sheetView tabSelected="1" topLeftCell="D7" zoomScale="74" workbookViewId="0">
      <selection activeCell="P8" sqref="P8"/>
    </sheetView>
  </sheetViews>
  <sheetFormatPr defaultRowHeight="14.4" x14ac:dyDescent="0.3"/>
  <cols>
    <col min="1" max="1" width="11.88671875" bestFit="1" customWidth="1"/>
    <col min="2" max="3" width="9" bestFit="1" customWidth="1"/>
    <col min="4" max="4" width="12.88671875" bestFit="1" customWidth="1"/>
    <col min="5" max="5" width="9" bestFit="1" customWidth="1"/>
    <col min="6" max="6" width="13.6640625" bestFit="1" customWidth="1"/>
    <col min="7" max="9" width="9" bestFit="1" customWidth="1"/>
    <col min="10" max="10" width="12.88671875" bestFit="1" customWidth="1"/>
    <col min="11" max="11" width="9" bestFit="1" customWidth="1"/>
    <col min="12" max="12" width="13.6640625" bestFit="1" customWidth="1"/>
    <col min="13" max="13" width="9" bestFit="1" customWidth="1"/>
    <col min="16" max="16" width="33" bestFit="1" customWidth="1"/>
    <col min="18" max="18" width="16.77734375" bestFit="1" customWidth="1"/>
  </cols>
  <sheetData>
    <row r="1" spans="1:17" x14ac:dyDescent="0.3">
      <c r="A1" t="s">
        <v>0</v>
      </c>
      <c r="D1" t="s">
        <v>7</v>
      </c>
      <c r="E1" t="s">
        <v>6</v>
      </c>
    </row>
    <row r="2" spans="1:17" x14ac:dyDescent="0.3">
      <c r="A2" t="s">
        <v>1</v>
      </c>
      <c r="C2" t="s">
        <v>2</v>
      </c>
    </row>
    <row r="3" spans="1:17" x14ac:dyDescent="0.3">
      <c r="C3">
        <v>0</v>
      </c>
      <c r="D3">
        <v>0.1</v>
      </c>
      <c r="E3">
        <v>0.2</v>
      </c>
      <c r="F3">
        <v>0.3</v>
      </c>
      <c r="G3">
        <v>0.4</v>
      </c>
      <c r="H3">
        <v>0.5</v>
      </c>
      <c r="I3">
        <v>0.6</v>
      </c>
      <c r="J3">
        <v>0.7</v>
      </c>
      <c r="K3">
        <v>0.8</v>
      </c>
      <c r="L3">
        <v>0.9</v>
      </c>
      <c r="M3">
        <v>1</v>
      </c>
    </row>
    <row r="4" spans="1:17" x14ac:dyDescent="0.3">
      <c r="A4" t="s">
        <v>8</v>
      </c>
      <c r="B4">
        <v>0</v>
      </c>
      <c r="C4">
        <v>0</v>
      </c>
      <c r="D4">
        <f t="shared" ref="D4:L4" si="0">SIN(3.14159*D3) + SIN(3.14159*2*D3)</f>
        <v>0.89680156493609275</v>
      </c>
      <c r="E4">
        <f t="shared" si="0"/>
        <v>1.5388410112254236</v>
      </c>
      <c r="F4">
        <f t="shared" si="0"/>
        <v>1.7600735347489607</v>
      </c>
      <c r="G4">
        <f t="shared" si="0"/>
        <v>1.5388431580234205</v>
      </c>
      <c r="H4">
        <f t="shared" si="0"/>
        <v>1.0000026535889133</v>
      </c>
      <c r="I4">
        <f t="shared" si="0"/>
        <v>0.36327433216614724</v>
      </c>
      <c r="J4">
        <f t="shared" si="0"/>
        <v>-0.14203728209029709</v>
      </c>
      <c r="K4">
        <f t="shared" si="0"/>
        <v>-0.36327085856298935</v>
      </c>
      <c r="L4">
        <f t="shared" si="0"/>
        <v>-0.27876985080785394</v>
      </c>
      <c r="M4">
        <v>0</v>
      </c>
      <c r="P4" t="s">
        <v>3</v>
      </c>
    </row>
    <row r="5" spans="1:17" x14ac:dyDescent="0.3">
      <c r="A5" t="s">
        <v>9</v>
      </c>
      <c r="B5">
        <v>0.05</v>
      </c>
      <c r="C5">
        <v>0</v>
      </c>
      <c r="D5">
        <f>(C4+E4)/2</f>
        <v>0.7694205056127118</v>
      </c>
      <c r="E5">
        <f t="shared" ref="E5:L5" si="1">(D4+F4)/2</f>
        <v>1.3284375498425267</v>
      </c>
      <c r="F5">
        <f t="shared" si="1"/>
        <v>1.538842084624422</v>
      </c>
      <c r="G5">
        <f t="shared" si="1"/>
        <v>1.380038094168937</v>
      </c>
      <c r="H5">
        <f t="shared" si="1"/>
        <v>0.95105874509478383</v>
      </c>
      <c r="I5">
        <f t="shared" si="1"/>
        <v>0.42898268574930809</v>
      </c>
      <c r="J5">
        <f t="shared" si="1"/>
        <v>1.7368015789442914E-6</v>
      </c>
      <c r="K5">
        <f t="shared" si="1"/>
        <v>-0.21040356644907551</v>
      </c>
      <c r="L5">
        <f t="shared" si="1"/>
        <v>-0.18163542928149468</v>
      </c>
      <c r="M5">
        <v>0</v>
      </c>
      <c r="P5" t="s">
        <v>10</v>
      </c>
      <c r="Q5" t="s">
        <v>5</v>
      </c>
    </row>
    <row r="6" spans="1:17" ht="15.6" x14ac:dyDescent="0.35">
      <c r="B6">
        <v>0.1</v>
      </c>
      <c r="C6">
        <v>0</v>
      </c>
      <c r="D6">
        <f>C5+E5-D4</f>
        <v>0.43163598490643396</v>
      </c>
      <c r="E6">
        <f t="shared" ref="E6:L6" si="2">D5+F5-E4</f>
        <v>0.76942157901171027</v>
      </c>
      <c r="F6">
        <f t="shared" si="2"/>
        <v>0.94840210926250301</v>
      </c>
      <c r="G6">
        <f t="shared" si="2"/>
        <v>0.95105767169578526</v>
      </c>
      <c r="H6">
        <f t="shared" si="2"/>
        <v>0.80901812632933168</v>
      </c>
      <c r="I6">
        <f t="shared" si="2"/>
        <v>0.58778614973021559</v>
      </c>
      <c r="J6">
        <f t="shared" si="2"/>
        <v>0.36061640139052964</v>
      </c>
      <c r="K6">
        <f t="shared" si="2"/>
        <v>0.18163716608307362</v>
      </c>
      <c r="L6">
        <f t="shared" si="2"/>
        <v>6.8366284358778423E-2</v>
      </c>
      <c r="M6">
        <v>0</v>
      </c>
      <c r="P6" t="s">
        <v>11</v>
      </c>
      <c r="Q6" t="s">
        <v>4</v>
      </c>
    </row>
    <row r="7" spans="1:17" x14ac:dyDescent="0.3">
      <c r="B7">
        <v>0.15</v>
      </c>
      <c r="C7">
        <v>0</v>
      </c>
      <c r="D7">
        <f t="shared" ref="D7:L7" si="3">C6+E6-D5</f>
        <v>1.0733989984634817E-6</v>
      </c>
      <c r="E7">
        <f t="shared" si="3"/>
        <v>5.1600544326410258E-2</v>
      </c>
      <c r="F7">
        <f t="shared" si="3"/>
        <v>0.18163716608307356</v>
      </c>
      <c r="G7">
        <f t="shared" si="3"/>
        <v>0.37738214142289772</v>
      </c>
      <c r="H7">
        <f t="shared" si="3"/>
        <v>0.58778507633121713</v>
      </c>
      <c r="I7">
        <f t="shared" si="3"/>
        <v>0.74065184197055334</v>
      </c>
      <c r="J7">
        <f t="shared" si="3"/>
        <v>0.76942157901171027</v>
      </c>
      <c r="K7">
        <f t="shared" si="3"/>
        <v>0.63938625219838363</v>
      </c>
      <c r="L7">
        <f t="shared" si="3"/>
        <v>0.3632725953645683</v>
      </c>
      <c r="M7">
        <v>0</v>
      </c>
      <c r="P7" t="s">
        <v>13</v>
      </c>
    </row>
    <row r="8" spans="1:17" x14ac:dyDescent="0.3">
      <c r="B8">
        <v>0.2</v>
      </c>
      <c r="C8">
        <v>0</v>
      </c>
      <c r="D8">
        <f t="shared" ref="D8:L8" si="4">C7+E7-D6</f>
        <v>-0.3800354405800237</v>
      </c>
      <c r="E8">
        <f t="shared" si="4"/>
        <v>-0.58778333952963824</v>
      </c>
      <c r="F8">
        <f t="shared" si="4"/>
        <v>-0.51941942351319503</v>
      </c>
      <c r="G8">
        <f t="shared" si="4"/>
        <v>-0.18163542928149456</v>
      </c>
      <c r="H8">
        <f t="shared" si="4"/>
        <v>0.30901585706411949</v>
      </c>
      <c r="I8">
        <f t="shared" si="4"/>
        <v>0.7694205056127118</v>
      </c>
      <c r="J8">
        <f t="shared" si="4"/>
        <v>1.0194216927784074</v>
      </c>
      <c r="K8">
        <f t="shared" si="4"/>
        <v>0.95105700829320505</v>
      </c>
      <c r="L8">
        <f t="shared" si="4"/>
        <v>0.57101996783960518</v>
      </c>
      <c r="M8">
        <v>0</v>
      </c>
    </row>
    <row r="9" spans="1:17" x14ac:dyDescent="0.3">
      <c r="B9">
        <v>0.25</v>
      </c>
      <c r="C9">
        <v>0</v>
      </c>
      <c r="D9">
        <f t="shared" ref="D9:L9" si="5">C8+E8-D7</f>
        <v>-0.5877844129286367</v>
      </c>
      <c r="E9">
        <f t="shared" si="5"/>
        <v>-0.95105540841962899</v>
      </c>
      <c r="F9">
        <f t="shared" si="5"/>
        <v>-0.95105593489420637</v>
      </c>
      <c r="G9">
        <f t="shared" si="5"/>
        <v>-0.58778570787197326</v>
      </c>
      <c r="H9">
        <f t="shared" si="5"/>
        <v>0</v>
      </c>
      <c r="I9">
        <f t="shared" si="5"/>
        <v>0.5877857078719736</v>
      </c>
      <c r="J9">
        <f t="shared" si="5"/>
        <v>0.95105593489420648</v>
      </c>
      <c r="K9">
        <f t="shared" si="5"/>
        <v>0.95105540841962888</v>
      </c>
      <c r="L9">
        <f t="shared" si="5"/>
        <v>0.5877844129286367</v>
      </c>
      <c r="M9">
        <v>0</v>
      </c>
    </row>
    <row r="10" spans="1:17" x14ac:dyDescent="0.3">
      <c r="B10">
        <v>0.3</v>
      </c>
      <c r="C10">
        <v>0</v>
      </c>
      <c r="D10">
        <f t="shared" ref="D10:L10" si="6">C9+E9-D8</f>
        <v>-0.57101996783960529</v>
      </c>
      <c r="E10">
        <f t="shared" si="6"/>
        <v>-0.95105700829320472</v>
      </c>
      <c r="F10">
        <f t="shared" si="6"/>
        <v>-1.0194216927784072</v>
      </c>
      <c r="G10">
        <f t="shared" si="6"/>
        <v>-0.7694205056127118</v>
      </c>
      <c r="H10">
        <f t="shared" si="6"/>
        <v>-0.30901585706411916</v>
      </c>
      <c r="I10">
        <f t="shared" si="6"/>
        <v>0.18163542928149468</v>
      </c>
      <c r="J10">
        <f t="shared" si="6"/>
        <v>0.51941942351319503</v>
      </c>
      <c r="K10">
        <f t="shared" si="6"/>
        <v>0.58778333952963813</v>
      </c>
      <c r="L10">
        <f t="shared" si="6"/>
        <v>0.3800354405800237</v>
      </c>
      <c r="M10">
        <v>0</v>
      </c>
    </row>
    <row r="11" spans="1:17" x14ac:dyDescent="0.3">
      <c r="B11">
        <v>0.35</v>
      </c>
      <c r="C11">
        <v>0</v>
      </c>
      <c r="D11">
        <f t="shared" ref="D11:L11" si="7">C10+E10-D9</f>
        <v>-0.36327259536456802</v>
      </c>
      <c r="E11">
        <f t="shared" si="7"/>
        <v>-0.63938625219838352</v>
      </c>
      <c r="F11">
        <f t="shared" si="7"/>
        <v>-0.76942157901171015</v>
      </c>
      <c r="G11">
        <f t="shared" si="7"/>
        <v>-0.740651841970553</v>
      </c>
      <c r="H11">
        <f t="shared" si="7"/>
        <v>-0.58778507633121713</v>
      </c>
      <c r="I11">
        <f t="shared" si="7"/>
        <v>-0.37738214142289772</v>
      </c>
      <c r="J11">
        <f t="shared" si="7"/>
        <v>-0.18163716608307368</v>
      </c>
      <c r="K11">
        <f t="shared" si="7"/>
        <v>-5.1600544326410147E-2</v>
      </c>
      <c r="L11">
        <f t="shared" si="7"/>
        <v>-1.073398998574504E-6</v>
      </c>
      <c r="M11">
        <v>0</v>
      </c>
    </row>
    <row r="12" spans="1:17" x14ac:dyDescent="0.3">
      <c r="B12">
        <v>0.4</v>
      </c>
      <c r="C12">
        <v>0</v>
      </c>
      <c r="D12">
        <f t="shared" ref="D12:L12" si="8">C11+E11-D10</f>
        <v>-6.8366284358778229E-2</v>
      </c>
      <c r="E12">
        <f t="shared" si="8"/>
        <v>-0.18163716608307345</v>
      </c>
      <c r="F12">
        <f t="shared" si="8"/>
        <v>-0.36061640139052931</v>
      </c>
      <c r="G12">
        <f t="shared" si="8"/>
        <v>-0.58778614973021537</v>
      </c>
      <c r="H12">
        <f t="shared" si="8"/>
        <v>-0.80901812632933157</v>
      </c>
      <c r="I12">
        <f t="shared" si="8"/>
        <v>-0.95105767169578548</v>
      </c>
      <c r="J12">
        <f t="shared" si="8"/>
        <v>-0.9484021092625029</v>
      </c>
      <c r="K12">
        <f t="shared" si="8"/>
        <v>-0.76942157901171038</v>
      </c>
      <c r="L12">
        <f t="shared" si="8"/>
        <v>-0.43163598490643384</v>
      </c>
      <c r="M12">
        <v>0</v>
      </c>
    </row>
    <row r="13" spans="1:17" x14ac:dyDescent="0.3">
      <c r="B13">
        <v>0.45</v>
      </c>
      <c r="C13">
        <v>0</v>
      </c>
      <c r="D13">
        <f t="shared" ref="D13:L13" si="9">C12+E12-D11</f>
        <v>0.18163542928149456</v>
      </c>
      <c r="E13">
        <f t="shared" si="9"/>
        <v>0.21040356644907598</v>
      </c>
      <c r="F13">
        <f t="shared" si="9"/>
        <v>-1.7368015786667357E-6</v>
      </c>
      <c r="G13">
        <f t="shared" si="9"/>
        <v>-0.42898268574930798</v>
      </c>
      <c r="H13">
        <f t="shared" si="9"/>
        <v>-0.95105874509478383</v>
      </c>
      <c r="I13">
        <f t="shared" si="9"/>
        <v>-1.3800380941689367</v>
      </c>
      <c r="J13">
        <f t="shared" si="9"/>
        <v>-1.538842084624422</v>
      </c>
      <c r="K13">
        <f t="shared" si="9"/>
        <v>-1.3284375498425267</v>
      </c>
      <c r="L13">
        <f t="shared" si="9"/>
        <v>-0.7694205056127118</v>
      </c>
      <c r="M13">
        <v>0</v>
      </c>
    </row>
    <row r="14" spans="1:17" x14ac:dyDescent="0.3">
      <c r="B14">
        <v>0.5</v>
      </c>
      <c r="C14">
        <v>0</v>
      </c>
      <c r="D14">
        <f t="shared" ref="D14:L14" si="10">C13+E13-D12</f>
        <v>0.27876985080785421</v>
      </c>
      <c r="E14">
        <f t="shared" si="10"/>
        <v>0.36327085856298935</v>
      </c>
      <c r="F14">
        <f t="shared" si="10"/>
        <v>0.14203728209029731</v>
      </c>
      <c r="G14">
        <f t="shared" si="10"/>
        <v>-0.36327433216614713</v>
      </c>
      <c r="H14">
        <f t="shared" si="10"/>
        <v>-1.000002653588913</v>
      </c>
      <c r="I14">
        <f t="shared" si="10"/>
        <v>-1.5388431580234203</v>
      </c>
      <c r="J14">
        <f t="shared" si="10"/>
        <v>-1.7600735347489609</v>
      </c>
      <c r="K14">
        <f t="shared" si="10"/>
        <v>-1.5388410112254234</v>
      </c>
      <c r="L14">
        <f t="shared" si="10"/>
        <v>-0.89680156493609287</v>
      </c>
      <c r="M14">
        <v>0</v>
      </c>
    </row>
    <row r="19" spans="7:10" x14ac:dyDescent="0.3">
      <c r="G19" s="1" t="s">
        <v>12</v>
      </c>
      <c r="H19" s="1"/>
      <c r="I19" s="1"/>
      <c r="J19" s="1"/>
    </row>
  </sheetData>
  <mergeCells count="1">
    <mergeCell ref="G19:J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Zhafran Amarillo</dc:creator>
  <cp:lastModifiedBy>Zhafran Amarillo</cp:lastModifiedBy>
  <dcterms:created xsi:type="dcterms:W3CDTF">2025-05-22T07:47:55Z</dcterms:created>
  <dcterms:modified xsi:type="dcterms:W3CDTF">2025-05-22T09:02:47Z</dcterms:modified>
</cp:coreProperties>
</file>